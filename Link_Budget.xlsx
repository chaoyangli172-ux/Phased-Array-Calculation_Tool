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<sst xmlns="http://schemas.openxmlformats.org/spreadsheetml/2006/main" count="37" uniqueCount="35">
  <si>
    <t xml:space="preserve">READ ONLY</t>
  </si>
  <si>
    <t xml:space="preserve">Basic Parameters</t>
  </si>
  <si>
    <t xml:space="preserve">Speed of light/(m/s)</t>
  </si>
  <si>
    <t xml:space="preserve">Boltzmann constant k/(J/K)</t>
  </si>
  <si>
    <t xml:space="preserve">Carrier frequency/GHz</t>
  </si>
  <si>
    <t xml:space="preserve">Wavelength/m</t>
  </si>
  <si>
    <t xml:space="preserve">Communication Parameters</t>
  </si>
  <si>
    <t xml:space="preserve">Orbit height R/km</t>
  </si>
  <si>
    <t xml:space="preserve">Modulation order</t>
  </si>
  <si>
    <t xml:space="preserve">Symbol rate/Hz</t>
  </si>
  <si>
    <t xml:space="preserve">TX</t>
  </si>
  <si>
    <t xml:space="preserve">PA output power per channel/dBm</t>
  </si>
  <si>
    <t xml:space="preserve">Total loss/dB</t>
  </si>
  <si>
    <t xml:space="preserve">TX array gain/dB</t>
  </si>
  <si>
    <t xml:space="preserve">EIRP/dBm</t>
  </si>
  <si>
    <t xml:space="preserve">EIRP/dBW</t>
  </si>
  <si>
    <t xml:space="preserve">Scan loss/dB</t>
  </si>
  <si>
    <t xml:space="preserve">RX</t>
  </si>
  <si>
    <t xml:space="preserve">RX array gain/dB</t>
  </si>
  <si>
    <t xml:space="preserve">Antenna noise temperature/K</t>
  </si>
  <si>
    <t xml:space="preserve">LNA noise figure/dB</t>
  </si>
  <si>
    <t xml:space="preserve">LNA noise temperature/K</t>
  </si>
  <si>
    <t xml:space="preserve">RF chain noise temperature/K</t>
  </si>
  <si>
    <t xml:space="preserve">G/T/(dB/K)</t>
  </si>
  <si>
    <t xml:space="preserve">Channel Loss</t>
  </si>
  <si>
    <t xml:space="preserve">Free space loss/dB</t>
  </si>
  <si>
    <t xml:space="preserve">Atmosphere loss/dB</t>
  </si>
  <si>
    <t xml:space="preserve">Polarization mismatch loss/dB</t>
  </si>
  <si>
    <t xml:space="preserve">Other loss/dB</t>
  </si>
  <si>
    <t xml:space="preserve">boresight</t>
  </si>
  <si>
    <t xml:space="preserve">scanned</t>
  </si>
  <si>
    <t xml:space="preserve">Results</t>
  </si>
  <si>
    <t xml:space="preserve">C_N0/dB-Hz</t>
  </si>
  <si>
    <t xml:space="preserve">Es/N0</t>
  </si>
  <si>
    <t xml:space="preserve">Eb/N0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</si>
</sst>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0.0_ "/>
  </numFmts>
  <fonts count="5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9" defaultRowHeight="14.25" zeroHeight="false" outlineLevelRow="0" outlineLevelCol="0"/>
  <cols>
    <col collapsed="false" customWidth="true" hidden="false" outlineLevel="0" max="1" min="1" style="1" width="26.88"/>
    <col collapsed="false" customWidth="true" hidden="false" outlineLevel="0" max="2" min="2" style="1" width="28.63"/>
    <col collapsed="false" customWidth="true" hidden="false" outlineLevel="0" max="3" min="3" style="1" width="12.13"/>
    <col collapsed="false" customWidth="true" hidden="false" outlineLevel="0" max="4" min="4" style="1" width="11.88"/>
    <col collapsed="false" customWidth="true" hidden="false" outlineLevel="0" max="5" min="5" style="1" width="11.25"/>
    <col collapsed="false" customWidth="true" hidden="false" outlineLevel="0" max="6" min="6" style="1" width="12"/>
    <col collapsed="false" customWidth="false" hidden="false" outlineLevel="0" max="16384" min="7" style="1" width="9"/>
  </cols>
  <sheetData>
    <row r="1" customFormat="false" ht="14.25" hidden="false" customHeight="false" outlineLevel="0" collapsed="false">
      <c r="D1" s="2" t="s">
        <v>0</v>
      </c>
      <c r="E1" s="1" t="s">
        <v>0</v>
      </c>
      <c r="F1" s="1" t="s">
        <v>0</v>
      </c>
    </row>
    <row r="2" customFormat="false" ht="14.25" hidden="false" customHeight="false" outlineLevel="0" collapsed="false">
      <c r="A2" s="1" t="s">
        <v>1</v>
      </c>
      <c r="B2" s="1" t="s">
        <v>2</v>
      </c>
      <c r="C2" s="3" t="n">
        <v>300000000</v>
      </c>
      <c r="D2" s="2"/>
    </row>
    <row r="3" customFormat="false" ht="14.25" hidden="false" customHeight="false" outlineLevel="0" collapsed="false">
      <c r="B3" s="1" t="s">
        <v>3</v>
      </c>
      <c r="C3" s="4" t="n">
        <v>1.38064852E-023</v>
      </c>
      <c r="D3" s="5" t="n">
        <f aca="false">10*LOG(C3,10)</f>
        <v>-228.599168683097</v>
      </c>
    </row>
    <row r="4" customFormat="false" ht="14.25" hidden="false" customHeight="false" outlineLevel="0" collapsed="false">
      <c r="B4" s="1" t="s">
        <v>4</v>
      </c>
      <c r="C4" s="1" t="n">
        <v>12</v>
      </c>
      <c r="D4" s="2" t="n">
        <f aca="false">C4*1000000000</f>
        <v>12000000000</v>
      </c>
    </row>
    <row r="5" customFormat="false" ht="14.25" hidden="false" customHeight="false" outlineLevel="0" collapsed="false">
      <c r="B5" s="1" t="s">
        <v>5</v>
      </c>
      <c r="D5" s="5" t="n">
        <f aca="false">C2/D4</f>
        <v>0.025</v>
      </c>
    </row>
    <row r="6" customFormat="false" ht="14.25" hidden="false" customHeight="false" outlineLevel="0" collapsed="false">
      <c r="D6" s="2"/>
    </row>
    <row r="7" customFormat="false" ht="14.25" hidden="false" customHeight="false" outlineLevel="0" collapsed="false">
      <c r="A7" s="1" t="s">
        <v>6</v>
      </c>
      <c r="B7" s="1" t="s">
        <v>7</v>
      </c>
      <c r="C7" s="3" t="n">
        <v>400</v>
      </c>
      <c r="D7" s="5" t="n">
        <f aca="false">C7*1000</f>
        <v>400000</v>
      </c>
    </row>
    <row r="8" customFormat="false" ht="14.25" hidden="false" customHeight="false" outlineLevel="0" collapsed="false">
      <c r="B8" s="1" t="s">
        <v>8</v>
      </c>
      <c r="C8" s="1" t="n">
        <v>4</v>
      </c>
      <c r="D8" s="2"/>
    </row>
    <row r="9" customFormat="false" ht="14.25" hidden="false" customHeight="false" outlineLevel="0" collapsed="false">
      <c r="B9" s="1" t="s">
        <v>9</v>
      </c>
      <c r="C9" s="3" t="n">
        <v>10000000</v>
      </c>
      <c r="D9" s="2"/>
    </row>
    <row r="10" customFormat="false" ht="14.25" hidden="false" customHeight="false" outlineLevel="0" collapsed="false">
      <c r="D10" s="2"/>
    </row>
    <row r="11" customFormat="false" ht="14.25" hidden="false" customHeight="false" outlineLevel="0" collapsed="false">
      <c r="D11" s="2"/>
    </row>
    <row r="12" customFormat="false" ht="14.25" hidden="false" customHeight="false" outlineLevel="0" collapsed="false">
      <c r="A12" s="1" t="s">
        <v>10</v>
      </c>
      <c r="B12" s="1" t="s">
        <v>11</v>
      </c>
      <c r="C12" s="1" t="n">
        <v>25</v>
      </c>
      <c r="D12" s="2"/>
    </row>
    <row r="13" customFormat="false" ht="14.25" hidden="false" customHeight="false" outlineLevel="0" collapsed="false">
      <c r="B13" s="1" t="s">
        <v>12</v>
      </c>
      <c r="C13" s="1" t="n">
        <v>3.5</v>
      </c>
      <c r="D13" s="2"/>
    </row>
    <row r="14" customFormat="false" ht="14.25" hidden="false" customHeight="false" outlineLevel="0" collapsed="false">
      <c r="B14" s="1" t="s">
        <v>13</v>
      </c>
      <c r="C14" s="1" t="n">
        <v>29</v>
      </c>
      <c r="D14" s="2"/>
    </row>
    <row r="15" customFormat="false" ht="14.25" hidden="false" customHeight="false" outlineLevel="0" collapsed="false">
      <c r="B15" s="1" t="s">
        <v>14</v>
      </c>
      <c r="D15" s="2" t="n">
        <f aca="false">C12+C14-C13</f>
        <v>50.5</v>
      </c>
    </row>
    <row r="16" customFormat="false" ht="14.25" hidden="false" customHeight="false" outlineLevel="0" collapsed="false">
      <c r="B16" s="1" t="s">
        <v>15</v>
      </c>
      <c r="D16" s="2" t="n">
        <f aca="false">D15-30</f>
        <v>20.5</v>
      </c>
    </row>
    <row r="17" customFormat="false" ht="14.25" hidden="false" customHeight="false" outlineLevel="0" collapsed="false">
      <c r="B17" s="1" t="s">
        <v>16</v>
      </c>
      <c r="C17" s="1" t="n">
        <v>3.5</v>
      </c>
      <c r="D17" s="2"/>
    </row>
    <row r="18" customFormat="false" ht="14.25" hidden="false" customHeight="false" outlineLevel="0" collapsed="false">
      <c r="D18" s="2"/>
    </row>
    <row r="19" customFormat="false" ht="14.25" hidden="false" customHeight="false" outlineLevel="0" collapsed="false">
      <c r="A19" s="1" t="s">
        <v>17</v>
      </c>
      <c r="B19" s="1" t="s">
        <v>18</v>
      </c>
      <c r="C19" s="1" t="n">
        <v>35</v>
      </c>
      <c r="D19" s="2"/>
    </row>
    <row r="20" customFormat="false" ht="14.25" hidden="false" customHeight="false" outlineLevel="0" collapsed="false">
      <c r="B20" s="1" t="s">
        <v>19</v>
      </c>
      <c r="C20" s="1" t="n">
        <v>80</v>
      </c>
      <c r="D20" s="2"/>
    </row>
    <row r="21" customFormat="false" ht="14.25" hidden="false" customHeight="false" outlineLevel="0" collapsed="false">
      <c r="B21" s="1" t="s">
        <v>20</v>
      </c>
      <c r="C21" s="1" t="n">
        <v>1.6</v>
      </c>
      <c r="D21" s="2"/>
    </row>
    <row r="22" customFormat="false" ht="14.25" hidden="false" customHeight="false" outlineLevel="0" collapsed="false">
      <c r="B22" s="1" t="s">
        <v>21</v>
      </c>
      <c r="D22" s="2" t="n">
        <f aca="false">(C21-1)*290</f>
        <v>174</v>
      </c>
    </row>
    <row r="23" customFormat="false" ht="14.25" hidden="false" customHeight="false" outlineLevel="0" collapsed="false">
      <c r="B23" s="1" t="s">
        <v>22</v>
      </c>
      <c r="C23" s="1" t="n">
        <v>50</v>
      </c>
      <c r="D23" s="2"/>
    </row>
    <row r="24" customFormat="false" ht="14.25" hidden="false" customHeight="false" outlineLevel="0" collapsed="false">
      <c r="B24" s="1" t="s">
        <v>23</v>
      </c>
      <c r="D24" s="2" t="n">
        <f aca="false">C19-10*LOG(C20+D22+C23,10)</f>
        <v>10.1712641639125</v>
      </c>
    </row>
    <row r="25" customFormat="false" ht="14.25" hidden="false" customHeight="false" outlineLevel="0" collapsed="false">
      <c r="D25" s="2"/>
    </row>
    <row r="26" customFormat="false" ht="14.25" hidden="false" customHeight="false" outlineLevel="0" collapsed="false">
      <c r="A26" s="1" t="s">
        <v>24</v>
      </c>
      <c r="B26" s="1" t="s">
        <v>25</v>
      </c>
      <c r="D26" s="5" t="n">
        <f aca="false">20*LOG(4*3.14159265*D7/D5,10)</f>
        <v>166.066596923635</v>
      </c>
    </row>
    <row r="27" customFormat="false" ht="14.25" hidden="false" customHeight="false" outlineLevel="0" collapsed="false">
      <c r="B27" s="1" t="s">
        <v>26</v>
      </c>
      <c r="C27" s="1" t="n">
        <v>6</v>
      </c>
      <c r="D27" s="2"/>
    </row>
    <row r="28" customFormat="false" ht="14.25" hidden="false" customHeight="false" outlineLevel="0" collapsed="false">
      <c r="B28" s="1" t="s">
        <v>27</v>
      </c>
      <c r="C28" s="1" t="n">
        <v>1</v>
      </c>
      <c r="D28" s="2"/>
    </row>
    <row r="29" customFormat="false" ht="14.25" hidden="false" customHeight="false" outlineLevel="0" collapsed="false">
      <c r="B29" s="1" t="s">
        <v>28</v>
      </c>
      <c r="C29" s="1" t="n">
        <v>1</v>
      </c>
      <c r="D29" s="2"/>
    </row>
    <row r="30" customFormat="false" ht="14.25" hidden="false" customHeight="false" outlineLevel="0" collapsed="false">
      <c r="D30" s="2"/>
    </row>
    <row r="31" customFormat="false" ht="14.25" hidden="false" customHeight="false" outlineLevel="0" collapsed="false">
      <c r="E31" s="6" t="s">
        <v>29</v>
      </c>
      <c r="F31" s="6" t="s">
        <v>30</v>
      </c>
    </row>
    <row r="32" customFormat="false" ht="14.25" hidden="false" customHeight="false" outlineLevel="0" collapsed="false">
      <c r="A32" s="1" t="s">
        <v>31</v>
      </c>
      <c r="B32" s="1" t="s">
        <v>32</v>
      </c>
      <c r="E32" s="7" t="n">
        <f aca="false">D16+D24-D26-C27-C28-C29-D3</f>
        <v>85.2038359233745</v>
      </c>
      <c r="F32" s="7" t="n">
        <f aca="false">E32-C17</f>
        <v>81.7038359233745</v>
      </c>
    </row>
    <row r="33" customFormat="false" ht="14.25" hidden="false" customHeight="false" outlineLevel="0" collapsed="false">
      <c r="E33" s="7"/>
      <c r="F33" s="6"/>
    </row>
    <row r="34" customFormat="false" ht="14.25" hidden="false" customHeight="false" outlineLevel="0" collapsed="false">
      <c r="B34" s="1" t="s">
        <v>33</v>
      </c>
      <c r="E34" s="7" t="n">
        <f aca="false">E32-10*LOG(C9)</f>
        <v>15.2038359233745</v>
      </c>
      <c r="F34" s="7" t="n">
        <f aca="false">E34-C17</f>
        <v>11.7038359233745</v>
      </c>
    </row>
    <row r="35" customFormat="false" ht="14.25" hidden="false" customHeight="false" outlineLevel="0" collapsed="false">
      <c r="E35" s="7"/>
      <c r="F35" s="6"/>
    </row>
    <row r="36" customFormat="false" ht="14.25" hidden="false" customHeight="false" outlineLevel="0" collapsed="false">
      <c r="B36" s="1" t="s">
        <v>34</v>
      </c>
      <c r="E36" s="7" t="n">
        <f aca="false">E34-10*LOG(LOG(C8,2),10)</f>
        <v>12.1935359667347</v>
      </c>
      <c r="F36" s="7" t="n">
        <f aca="false">E36-C17</f>
        <v>8.69353596673469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PC</dc:creator>
  <dc:description/>
  <dc:language>en-US</dc:language>
  <cp:lastModifiedBy>cy li</cp:lastModifiedBy>
  <dcterms:modified xsi:type="dcterms:W3CDTF">2026-07-15T03:36:52Z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